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Zemi Smart Wearable - BOM v1.0</t>
        </is>
      </c>
    </row>
    <row r="2">
      <c r="A2" s="2" t="inlineStr">
        <is>
          <t>Project: ZEM-01 | Date: June 2026 | Version: 1.0</t>
        </is>
      </c>
    </row>
    <row r="4">
      <c r="A4" s="3" t="inlineStr">
        <is>
          <t>Item #</t>
        </is>
      </c>
      <c r="B4" s="3" t="inlineStr">
        <is>
          <t>Component</t>
        </is>
      </c>
      <c r="C4" s="3" t="inlineStr">
        <is>
          <t>Part Number / Description</t>
        </is>
      </c>
      <c r="D4" s="3" t="inlineStr">
        <is>
          <t>Qty</t>
        </is>
      </c>
      <c r="E4" s="3" t="inlineStr">
        <is>
          <t>Unit Cost (AUD)</t>
        </is>
      </c>
      <c r="F4" s="3" t="inlineStr">
        <is>
          <t>Total Cost (AUD)</t>
        </is>
      </c>
      <c r="G4" s="3" t="inlineStr">
        <is>
          <t>Supplier</t>
        </is>
      </c>
      <c r="H4" s="3" t="inlineStr">
        <is>
          <t>Notes</t>
        </is>
      </c>
    </row>
    <row r="5">
      <c r="A5" t="inlineStr">
        <is>
          <t>1</t>
        </is>
      </c>
      <c r="B5" t="inlineStr">
        <is>
          <t>Main MCU</t>
        </is>
      </c>
      <c r="C5" t="inlineStr">
        <is>
          <t>ESP32-S3-WROOM-1-N16R8</t>
        </is>
      </c>
      <c r="D5" t="inlineStr">
        <is>
          <t>1</t>
        </is>
      </c>
      <c r="E5" t="inlineStr">
        <is>
          <t>4.85</t>
        </is>
      </c>
      <c r="F5">
        <f>D5*E5</f>
        <v/>
      </c>
      <c r="G5" t="inlineStr">
        <is>
          <t>Digi-Key / Local Distributor</t>
        </is>
      </c>
      <c r="H5" t="inlineStr">
        <is>
          <t>Core processor with BLE</t>
        </is>
      </c>
    </row>
    <row r="6">
      <c r="A6" t="inlineStr">
        <is>
          <t>2</t>
        </is>
      </c>
      <c r="B6" t="inlineStr">
        <is>
          <t>3D Magnetic Sensor</t>
        </is>
      </c>
      <c r="C6" t="inlineStr">
        <is>
          <t>MLX90393</t>
        </is>
      </c>
      <c r="D6" t="inlineStr">
        <is>
          <t>1</t>
        </is>
      </c>
      <c r="E6" t="inlineStr">
        <is>
          <t>3.25</t>
        </is>
      </c>
      <c r="F6">
        <f>D6*E6</f>
        <v/>
      </c>
      <c r="G6" t="inlineStr">
        <is>
          <t>Melexis / Mouser</t>
        </is>
      </c>
      <c r="H6" t="inlineStr">
        <is>
          <t>CA1 - Spatial handshake</t>
        </is>
      </c>
    </row>
    <row r="7">
      <c r="A7" t="inlineStr">
        <is>
          <t>3</t>
        </is>
      </c>
      <c r="B7" t="inlineStr">
        <is>
          <t>Charging Transmitter IC</t>
        </is>
      </c>
      <c r="C7" t="inlineStr">
        <is>
          <t>BQ500212A</t>
        </is>
      </c>
      <c r="D7" t="inlineStr">
        <is>
          <t>1</t>
        </is>
      </c>
      <c r="E7" t="inlineStr">
        <is>
          <t>2.95</t>
        </is>
      </c>
      <c r="F7">
        <f>D7*E7</f>
        <v/>
      </c>
      <c r="G7" t="inlineStr">
        <is>
          <t>TI / Element14</t>
        </is>
      </c>
      <c r="H7" t="inlineStr">
        <is>
          <t>CA2 - Inductive TX</t>
        </is>
      </c>
    </row>
    <row r="8">
      <c r="A8" t="inlineStr">
        <is>
          <t>4</t>
        </is>
      </c>
      <c r="B8" t="inlineStr">
        <is>
          <t>Charging Receiver IC</t>
        </is>
      </c>
      <c r="C8" t="inlineStr">
        <is>
          <t>BQ51050B</t>
        </is>
      </c>
      <c r="D8" t="inlineStr">
        <is>
          <t>1</t>
        </is>
      </c>
      <c r="E8" t="inlineStr">
        <is>
          <t>2.45</t>
        </is>
      </c>
      <c r="F8">
        <f>D8*E8</f>
        <v/>
      </c>
      <c r="G8" t="inlineStr">
        <is>
          <t>TI / Element14</t>
        </is>
      </c>
      <c r="H8" t="inlineStr">
        <is>
          <t>CA2 - Inductive RX</t>
        </is>
      </c>
    </row>
    <row r="9">
      <c r="A9" t="inlineStr">
        <is>
          <t>5</t>
        </is>
      </c>
      <c r="B9" t="inlineStr">
        <is>
          <t>Flexible PCB Coil</t>
        </is>
      </c>
      <c r="C9" t="inlineStr">
        <is>
          <t>Custom 40mm radius coil</t>
        </is>
      </c>
      <c r="D9" t="inlineStr">
        <is>
          <t>2</t>
        </is>
      </c>
      <c r="E9" t="inlineStr">
        <is>
          <t>1.85</t>
        </is>
      </c>
      <c r="F9">
        <f>D9*E9</f>
        <v/>
      </c>
      <c r="G9" t="inlineStr">
        <is>
          <t>Local PCB fab (Sydney)</t>
        </is>
      </c>
      <c r="H9" t="inlineStr">
        <is>
          <t>TX + RX coils</t>
        </is>
      </c>
    </row>
    <row r="10">
      <c r="A10" t="inlineStr">
        <is>
          <t>6</t>
        </is>
      </c>
      <c r="B10" t="inlineStr">
        <is>
          <t>Flexible Ferrite Composite</t>
        </is>
      </c>
      <c r="C10" t="inlineStr">
        <is>
          <t>Custom flexible shielding</t>
        </is>
      </c>
      <c r="D10" t="inlineStr">
        <is>
          <t>1</t>
        </is>
      </c>
      <c r="E10" t="inlineStr">
        <is>
          <t>1.65</t>
        </is>
      </c>
      <c r="F10">
        <f>D10*E10</f>
        <v/>
      </c>
      <c r="G10" t="inlineStr">
        <is>
          <t>Local supplier</t>
        </is>
      </c>
      <c r="H10" t="inlineStr">
        <is>
          <t>M2/M3 configurations</t>
        </is>
      </c>
    </row>
    <row r="11">
      <c r="A11" t="inlineStr">
        <is>
          <t>7</t>
        </is>
      </c>
      <c r="B11" t="inlineStr">
        <is>
          <t>TPU/Silicone Housing</t>
        </is>
      </c>
      <c r="C11" t="inlineStr">
        <is>
          <t>Child-safe wristband</t>
        </is>
      </c>
      <c r="D11" t="inlineStr">
        <is>
          <t>1</t>
        </is>
      </c>
      <c r="E11" t="inlineStr">
        <is>
          <t>2.10</t>
        </is>
      </c>
      <c r="F11">
        <f>D11*E11</f>
        <v/>
      </c>
      <c r="G11" t="inlineStr">
        <is>
          <t>Local molder</t>
        </is>
      </c>
      <c r="H11" t="inlineStr">
        <is>
          <t>IP67 rated</t>
        </is>
      </c>
    </row>
    <row r="12">
      <c r="A12" t="inlineStr">
        <is>
          <t>8</t>
        </is>
      </c>
      <c r="B12" t="inlineStr">
        <is>
          <t>Battery</t>
        </is>
      </c>
      <c r="C12" t="inlineStr">
        <is>
          <t>LiPo 3.7V 150mAh</t>
        </is>
      </c>
      <c r="D12" t="inlineStr">
        <is>
          <t>1</t>
        </is>
      </c>
      <c r="E12" t="inlineStr">
        <is>
          <t>3.75</t>
        </is>
      </c>
      <c r="F12">
        <f>D12*E12</f>
        <v/>
      </c>
      <c r="G12" t="inlineStr">
        <is>
          <t>Battery supplier</t>
        </is>
      </c>
      <c r="H12" t="inlineStr">
        <is>
          <t>Rechargeable</t>
        </is>
      </c>
    </row>
    <row r="13">
      <c r="A13" t="inlineStr">
        <is>
          <t>9</t>
        </is>
      </c>
      <c r="B13" t="inlineStr">
        <is>
          <t>LED Indicator</t>
        </is>
      </c>
      <c r="C13" t="inlineStr">
        <is>
          <t>RGB LED 0603</t>
        </is>
      </c>
      <c r="D13" t="inlineStr">
        <is>
          <t>2</t>
        </is>
      </c>
      <c r="E13" t="inlineStr">
        <is>
          <t>0.35</t>
        </is>
      </c>
      <c r="F13">
        <f>D13*E13</f>
        <v/>
      </c>
      <c r="G13" t="inlineStr">
        <is>
          <t>Digi-Key</t>
        </is>
      </c>
      <c r="H13" t="inlineStr">
        <is>
          <t>Status + pairing</t>
        </is>
      </c>
    </row>
    <row r="14">
      <c r="A14" t="inlineStr">
        <is>
          <t>10</t>
        </is>
      </c>
      <c r="B14" t="inlineStr">
        <is>
          <t>Passives &amp; Connectors</t>
        </is>
      </c>
      <c r="C14" t="inlineStr">
        <is>
          <t>Resistors, Caps, FFC connectors</t>
        </is>
      </c>
      <c r="D14" t="inlineStr">
        <is>
          <t>1</t>
        </is>
      </c>
      <c r="E14" t="inlineStr">
        <is>
          <t>1.45</t>
        </is>
      </c>
      <c r="F14">
        <f>D14*E14</f>
        <v/>
      </c>
      <c r="G14" t="inlineStr">
        <is>
          <t>Various</t>
        </is>
      </c>
      <c r="H14" t="inlineStr">
        <is>
          <t>BOM bundle</t>
        </is>
      </c>
    </row>
    <row r="15">
      <c r="A15" t="inlineStr">
        <is>
          <t>11</t>
        </is>
      </c>
      <c r="B15" t="inlineStr">
        <is>
          <t>Assembly &amp; Test</t>
        </is>
      </c>
      <c r="C15" t="inlineStr">
        <is>
          <t>PCB Assembly + Firmware Flash</t>
        </is>
      </c>
      <c r="D15" t="inlineStr">
        <is>
          <t>1</t>
        </is>
      </c>
      <c r="E15" t="inlineStr">
        <is>
          <t>4.50</t>
        </is>
      </c>
      <c r="F15" s="2">
        <f>SUM(F5:F14)</f>
        <v/>
      </c>
      <c r="G15" t="inlineStr">
        <is>
          <t>Local CM</t>
        </is>
      </c>
      <c r="H15" t="inlineStr">
        <is>
          <t>Per unit labor</t>
        </is>
      </c>
    </row>
    <row r="17">
      <c r="A17" s="2" t="inlineStr">
        <is>
          <t>Total Estimated BOM Cost (500 unit run):</t>
        </is>
      </c>
      <c r="F17">
        <f>F15</f>
        <v/>
      </c>
    </row>
    <row r="19">
      <c r="A19" t="inlineStr">
        <is>
          <t>Notes:</t>
        </is>
      </c>
    </row>
    <row r="20">
      <c r="A20" t="inlineStr">
        <is>
          <t>1. Costs based on 500-unit prototype quotation from qualified Australian contract manufacturer.</t>
        </is>
      </c>
    </row>
    <row r="21">
      <c r="A21" t="inlineStr">
        <is>
          <t>2. All components meet AS/NZS 8124 child safety and IP67 requirements.</t>
        </is>
      </c>
    </row>
    <row r="22">
      <c r="A22" t="inlineStr">
        <is>
          <t>3. Suppliers qualified June 2026 - two per critical component.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2026-06-15T03:31:27Z</dcterms:created>
  <dcterms:modified xmlns:dcterms="http://purl.org/dc/terms/" xmlns:xsi="http://www.w3.org/2001/XMLSchema-instance" xsi:type="dcterms:W3CDTF">2026-06-15T03:31:28Z</dcterms:modified>
</cp:coreProperties>
</file>